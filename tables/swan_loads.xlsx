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ED5/AED Dropbox/AED_Cockburn_db/SEAF-CS/csiem-science/tables/"/>
    </mc:Choice>
  </mc:AlternateContent>
  <xr:revisionPtr revIDLastSave="0" documentId="13_ncr:1_{ACFAF1C3-C1A2-2F40-8107-9FEA48C3A8F6}" xr6:coauthVersionLast="47" xr6:coauthVersionMax="47" xr10:uidLastSave="{00000000-0000-0000-0000-000000000000}"/>
  <bookViews>
    <workbookView xWindow="9120" yWindow="5420" windowWidth="33880" windowHeight="17900" activeTab="1" xr2:uid="{F166D0B2-A6A5-A644-AFBB-9ACE97DF3A9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E5" i="2"/>
  <c r="D5" i="2"/>
  <c r="J10" i="1"/>
  <c r="J9" i="1"/>
  <c r="J8" i="1"/>
  <c r="J7" i="1"/>
  <c r="J6" i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J5" i="1" l="1"/>
</calcChain>
</file>

<file path=xl/sharedStrings.xml><?xml version="1.0" encoding="utf-8"?>
<sst xmlns="http://schemas.openxmlformats.org/spreadsheetml/2006/main" count="68" uniqueCount="33">
  <si>
    <t>YEAR</t>
  </si>
  <si>
    <t>LEAVING FREO</t>
  </si>
  <si>
    <t>2023/4</t>
  </si>
  <si>
    <t>ENTERING SCE</t>
  </si>
  <si>
    <t>SWAN</t>
  </si>
  <si>
    <t>CANNING</t>
  </si>
  <si>
    <t>TOTAL</t>
  </si>
  <si>
    <t>TONNES</t>
  </si>
  <si>
    <t>% of FREMANTLE EXPORT</t>
  </si>
  <si>
    <t>% OF SCE CATCHMENT INPUT</t>
  </si>
  <si>
    <t>ENTERING COCKBURN SOUND</t>
  </si>
  <si>
    <t>mid</t>
  </si>
  <si>
    <t>low</t>
  </si>
  <si>
    <t>wet</t>
  </si>
  <si>
    <t>EXITING FREMANTLE</t>
  </si>
  <si>
    <t>CONDITIONS</t>
  </si>
  <si>
    <t>WIND DIRECTION</t>
  </si>
  <si>
    <t>PLUME TENDENCY</t>
  </si>
  <si>
    <t>SWAN @ NARROWS</t>
  </si>
  <si>
    <t>Table</t>
  </si>
  <si>
    <t>Group</t>
  </si>
  <si>
    <t>swan</t>
  </si>
  <si>
    <t>Item</t>
  </si>
  <si>
    <t>_</t>
  </si>
  <si>
    <t>south-east</t>
  </si>
  <si>
    <t>north</t>
  </si>
  <si>
    <t>TOTAL (TONNES N/YEAR)</t>
  </si>
  <si>
    <t>OCEAN EXPORT (TONNES N/YEAR)</t>
  </si>
  <si>
    <t>OCEAN INPUT @ NS5/11 (TONNES N/YEAR)</t>
  </si>
  <si>
    <t xml:space="preserve">RIVER FLOW </t>
  </si>
  <si>
    <t>CATEGORY</t>
  </si>
  <si>
    <t>ENTERING CSIEM DOMAIN</t>
  </si>
  <si>
    <t>south-east (see Figure 7.22)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</si>
</sst>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0096B7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 readingOrder="1"/>
    </xf>
    <xf numFmtId="9" fontId="3" fillId="3" borderId="4" xfId="0" applyNumberFormat="1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9" fontId="3" fillId="4" borderId="4" xfId="0" applyNumberFormat="1" applyFont="1" applyFill="1" applyBorder="1" applyAlignment="1">
      <alignment horizontal="center" vertical="center" wrapText="1" readingOrder="1"/>
    </xf>
    <xf numFmtId="0" fontId="3" fillId="5" borderId="5" xfId="0" applyFont="1" applyFill="1" applyBorder="1" applyAlignment="1">
      <alignment horizontal="center" vertical="center" wrapText="1" readingOrder="1"/>
    </xf>
    <xf numFmtId="9" fontId="3" fillId="5" borderId="5" xfId="0" applyNumberFormat="1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9" fontId="3" fillId="5" borderId="4" xfId="0" applyNumberFormat="1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171" fontId="3" fillId="3" borderId="3" xfId="0" applyNumberFormat="1" applyFont="1" applyFill="1" applyBorder="1" applyAlignment="1">
      <alignment horizontal="center" vertical="center" wrapText="1" readingOrder="1"/>
    </xf>
    <xf numFmtId="171" fontId="3" fillId="4" borderId="1" xfId="0" applyNumberFormat="1" applyFont="1" applyFill="1" applyBorder="1" applyAlignment="1">
      <alignment horizontal="center" vertical="center" wrapText="1" readingOrder="1"/>
    </xf>
    <xf numFmtId="171" fontId="3" fillId="5" borderId="5" xfId="0" applyNumberFormat="1" applyFont="1" applyFill="1" applyBorder="1" applyAlignment="1">
      <alignment horizontal="center" vertical="center" wrapText="1" readingOrder="1"/>
    </xf>
    <xf numFmtId="171" fontId="3" fillId="3" borderId="1" xfId="0" applyNumberFormat="1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vertical="center" wrapText="1" readingOrder="1"/>
    </xf>
    <xf numFmtId="0" fontId="2" fillId="2" borderId="8" xfId="0" applyFont="1" applyFill="1" applyBorder="1" applyAlignment="1">
      <alignment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0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vertical="center" wrapText="1" readingOrder="1"/>
    </xf>
    <xf numFmtId="0" fontId="1" fillId="6" borderId="10" xfId="0" applyFont="1" applyFill="1" applyBorder="1" applyAlignment="1">
      <alignment horizontal="left" vertical="center"/>
    </xf>
    <xf numFmtId="1" fontId="3" fillId="3" borderId="4" xfId="0" applyNumberFormat="1" applyFont="1" applyFill="1" applyBorder="1" applyAlignment="1">
      <alignment horizontal="center" vertical="center" wrapText="1" readingOrder="1"/>
    </xf>
    <xf numFmtId="1" fontId="3" fillId="4" borderId="4" xfId="0" applyNumberFormat="1" applyFont="1" applyFill="1" applyBorder="1" applyAlignment="1">
      <alignment horizontal="center" vertical="center" wrapText="1" readingOrder="1"/>
    </xf>
    <xf numFmtId="1" fontId="3" fillId="5" borderId="5" xfId="0" applyNumberFormat="1" applyFont="1" applyFill="1" applyBorder="1" applyAlignment="1">
      <alignment horizontal="center" vertical="center" wrapText="1" readingOrder="1"/>
    </xf>
    <xf numFmtId="1" fontId="3" fillId="5" borderId="4" xfId="0" applyNumberFormat="1" applyFont="1" applyFill="1" applyBorder="1" applyAlignment="1">
      <alignment horizontal="center" vertical="center" wrapText="1" readingOrder="1"/>
    </xf>
    <xf numFmtId="171" fontId="3" fillId="5" borderId="1" xfId="0" applyNumberFormat="1" applyFont="1" applyFill="1" applyBorder="1" applyAlignment="1">
      <alignment horizontal="center" vertical="center" wrapText="1" readingOrder="1"/>
    </xf>
    <xf numFmtId="1" fontId="3" fillId="3" borderId="3" xfId="0" applyNumberFormat="1" applyFont="1" applyFill="1" applyBorder="1" applyAlignment="1">
      <alignment horizontal="center" vertical="center" wrapText="1" readingOrder="1"/>
    </xf>
    <xf numFmtId="1" fontId="3" fillId="4" borderId="1" xfId="0" applyNumberFormat="1" applyFont="1" applyFill="1" applyBorder="1" applyAlignment="1">
      <alignment horizontal="center" vertical="center" wrapText="1" readingOrder="1"/>
    </xf>
    <xf numFmtId="1" fontId="3" fillId="5" borderId="1" xfId="0" applyNumberFormat="1" applyFont="1" applyFill="1" applyBorder="1" applyAlignment="1">
      <alignment horizontal="center" vertical="center" wrapText="1" readingOrder="1"/>
    </xf>
    <xf numFmtId="1" fontId="3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6874-E484-1C48-9E4C-987D9B061067}">
  <dimension ref="B2:J10"/>
  <sheetViews>
    <sheetView workbookViewId="0">
      <selection activeCell="C25" sqref="C25"/>
    </sheetView>
  </sheetViews>
  <sheetFormatPr baseColWidth="10" defaultRowHeight="16" x14ac:dyDescent="0.2"/>
  <cols>
    <col min="1" max="16384" width="10.83203125" style="7"/>
  </cols>
  <sheetData>
    <row r="2" spans="2:10" ht="17" thickBot="1" x14ac:dyDescent="0.25"/>
    <row r="3" spans="2:10" ht="30" customHeight="1" x14ac:dyDescent="0.2">
      <c r="B3" s="1" t="s">
        <v>0</v>
      </c>
      <c r="C3" s="2" t="s">
        <v>3</v>
      </c>
      <c r="D3" s="3"/>
      <c r="E3" s="4"/>
      <c r="F3" s="2" t="s">
        <v>1</v>
      </c>
      <c r="G3" s="4"/>
      <c r="H3" s="24" t="s">
        <v>10</v>
      </c>
      <c r="I3" s="25"/>
      <c r="J3" s="25"/>
    </row>
    <row r="4" spans="2:10" ht="46" thickBot="1" x14ac:dyDescent="0.25">
      <c r="B4" s="5"/>
      <c r="C4" s="6" t="s">
        <v>4</v>
      </c>
      <c r="D4" s="6" t="s">
        <v>5</v>
      </c>
      <c r="E4" s="6" t="s">
        <v>6</v>
      </c>
      <c r="F4" s="6" t="s">
        <v>7</v>
      </c>
      <c r="G4" s="6" t="s">
        <v>9</v>
      </c>
      <c r="H4" s="6" t="s">
        <v>7</v>
      </c>
      <c r="I4" s="6" t="s">
        <v>8</v>
      </c>
      <c r="J4" s="6" t="s">
        <v>9</v>
      </c>
    </row>
    <row r="5" spans="2:10" ht="18" thickTop="1" thickBot="1" x14ac:dyDescent="0.25">
      <c r="B5" s="8">
        <v>2013</v>
      </c>
      <c r="C5" s="8">
        <v>303.10000000000002</v>
      </c>
      <c r="D5" s="8">
        <v>31.1</v>
      </c>
      <c r="E5" s="8">
        <f>C5+D5</f>
        <v>334.20000000000005</v>
      </c>
      <c r="F5" s="8">
        <v>291</v>
      </c>
      <c r="G5" s="17">
        <f>F5/E5*100</f>
        <v>87.073608617594246</v>
      </c>
      <c r="H5" s="8">
        <v>55</v>
      </c>
      <c r="I5" s="9">
        <v>0.19</v>
      </c>
      <c r="J5" s="9">
        <f>H5/E5</f>
        <v>0.16457211250748052</v>
      </c>
    </row>
    <row r="6" spans="2:10" ht="17" thickBot="1" x14ac:dyDescent="0.25">
      <c r="B6" s="10">
        <v>2015</v>
      </c>
      <c r="C6" s="10">
        <v>56.1</v>
      </c>
      <c r="D6" s="10">
        <v>9.9</v>
      </c>
      <c r="E6" s="10">
        <f>C6+D6</f>
        <v>66</v>
      </c>
      <c r="F6" s="10">
        <v>44</v>
      </c>
      <c r="G6" s="18">
        <f>F6/E6*100</f>
        <v>66.666666666666657</v>
      </c>
      <c r="H6" s="10">
        <v>8</v>
      </c>
      <c r="I6" s="11">
        <v>0.17</v>
      </c>
      <c r="J6" s="11">
        <f>H6/E6</f>
        <v>0.12121212121212122</v>
      </c>
    </row>
    <row r="7" spans="2:10" ht="17" thickBot="1" x14ac:dyDescent="0.25">
      <c r="B7" s="10">
        <v>2020</v>
      </c>
      <c r="C7" s="10">
        <v>36.4</v>
      </c>
      <c r="D7" s="10">
        <v>9.5</v>
      </c>
      <c r="E7" s="10">
        <f>C7+D7</f>
        <v>45.9</v>
      </c>
      <c r="F7" s="10">
        <v>54</v>
      </c>
      <c r="G7" s="18">
        <f>F7/E7*100</f>
        <v>117.64705882352942</v>
      </c>
      <c r="H7" s="10">
        <v>6</v>
      </c>
      <c r="I7" s="11">
        <v>0.1</v>
      </c>
      <c r="J7" s="11">
        <f>H7/E7</f>
        <v>0.13071895424836602</v>
      </c>
    </row>
    <row r="8" spans="2:10" ht="17" thickBot="1" x14ac:dyDescent="0.25">
      <c r="B8" s="12">
        <v>2021</v>
      </c>
      <c r="C8" s="12">
        <v>1730.1</v>
      </c>
      <c r="D8" s="12">
        <v>50.6</v>
      </c>
      <c r="E8" s="12">
        <f>C8+D8</f>
        <v>1780.6999999999998</v>
      </c>
      <c r="F8" s="12">
        <v>1612</v>
      </c>
      <c r="G8" s="19">
        <f>F8/E8*100</f>
        <v>90.526197562756224</v>
      </c>
      <c r="H8" s="12">
        <v>417</v>
      </c>
      <c r="I8" s="13">
        <v>0.26</v>
      </c>
      <c r="J8" s="13">
        <f>H8/E8</f>
        <v>0.23417757061829619</v>
      </c>
    </row>
    <row r="9" spans="2:10" ht="17" thickBot="1" x14ac:dyDescent="0.25">
      <c r="B9" s="14">
        <v>2022</v>
      </c>
      <c r="C9" s="14">
        <v>1135.5999999999999</v>
      </c>
      <c r="D9" s="14">
        <v>35.6</v>
      </c>
      <c r="E9" s="12">
        <f>C9+D9</f>
        <v>1171.1999999999998</v>
      </c>
      <c r="F9" s="14">
        <v>967</v>
      </c>
      <c r="G9" s="19">
        <f>F9/E9*100</f>
        <v>82.564890710382528</v>
      </c>
      <c r="H9" s="14">
        <v>86</v>
      </c>
      <c r="I9" s="15">
        <v>0.09</v>
      </c>
      <c r="J9" s="15">
        <f>H9/E9</f>
        <v>7.3428961748633892E-2</v>
      </c>
    </row>
    <row r="10" spans="2:10" ht="17" thickBot="1" x14ac:dyDescent="0.25">
      <c r="B10" s="16" t="s">
        <v>2</v>
      </c>
      <c r="C10" s="16">
        <v>133</v>
      </c>
      <c r="D10" s="16">
        <v>16.7</v>
      </c>
      <c r="E10" s="16">
        <f>C10+D10</f>
        <v>149.69999999999999</v>
      </c>
      <c r="F10" s="16">
        <v>134</v>
      </c>
      <c r="G10" s="20">
        <f>F10/E10*100</f>
        <v>89.512358049432208</v>
      </c>
      <c r="H10" s="16">
        <v>15</v>
      </c>
      <c r="I10" s="9">
        <v>0.11</v>
      </c>
      <c r="J10" s="9">
        <f>H10/E10</f>
        <v>0.10020040080160321</v>
      </c>
    </row>
  </sheetData>
  <mergeCells count="4">
    <mergeCell ref="F3:G3"/>
    <mergeCell ref="H3:J3"/>
    <mergeCell ref="B3:B4"/>
    <mergeCell ref="C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D08E-671A-3E45-8673-579E46872D96}">
  <dimension ref="A1:I12"/>
  <sheetViews>
    <sheetView tabSelected="1" workbookViewId="0">
      <selection activeCell="H12" sqref="H12"/>
    </sheetView>
  </sheetViews>
  <sheetFormatPr baseColWidth="10" defaultRowHeight="16" x14ac:dyDescent="0.2"/>
  <cols>
    <col min="2" max="2" width="22.83203125" bestFit="1" customWidth="1"/>
    <col min="3" max="3" width="16.33203125" customWidth="1"/>
  </cols>
  <sheetData>
    <row r="1" spans="1:9" ht="18" thickTop="1" thickBot="1" x14ac:dyDescent="0.25">
      <c r="A1" s="27" t="s">
        <v>19</v>
      </c>
      <c r="B1" s="27" t="s">
        <v>20</v>
      </c>
      <c r="C1" t="s">
        <v>22</v>
      </c>
      <c r="D1" s="8">
        <v>2013</v>
      </c>
      <c r="E1" s="10">
        <v>2015</v>
      </c>
      <c r="F1" s="10">
        <v>2020</v>
      </c>
      <c r="G1" s="12">
        <v>2021</v>
      </c>
      <c r="H1" s="14">
        <v>2022</v>
      </c>
      <c r="I1" s="16" t="s">
        <v>2</v>
      </c>
    </row>
    <row r="2" spans="1:9" ht="38" customHeight="1" thickTop="1" thickBot="1" x14ac:dyDescent="0.25">
      <c r="A2" t="s">
        <v>21</v>
      </c>
      <c r="B2" s="21" t="s">
        <v>29</v>
      </c>
      <c r="C2" s="6" t="s">
        <v>30</v>
      </c>
      <c r="D2" s="8" t="s">
        <v>11</v>
      </c>
      <c r="E2" s="10" t="s">
        <v>12</v>
      </c>
      <c r="F2" s="10" t="s">
        <v>12</v>
      </c>
      <c r="G2" s="12" t="s">
        <v>13</v>
      </c>
      <c r="H2" s="14" t="s">
        <v>13</v>
      </c>
      <c r="I2" s="16" t="s">
        <v>11</v>
      </c>
    </row>
    <row r="3" spans="1:9" ht="38" customHeight="1" thickTop="1" thickBot="1" x14ac:dyDescent="0.25">
      <c r="A3" t="s">
        <v>21</v>
      </c>
      <c r="B3" s="23" t="s">
        <v>31</v>
      </c>
      <c r="C3" s="6" t="s">
        <v>18</v>
      </c>
      <c r="D3" s="17">
        <v>303.10000000000002</v>
      </c>
      <c r="E3" s="18">
        <v>56.1</v>
      </c>
      <c r="F3" s="18">
        <v>36.4</v>
      </c>
      <c r="G3" s="19">
        <v>1730.1</v>
      </c>
      <c r="H3" s="35">
        <v>1136</v>
      </c>
      <c r="I3" s="20">
        <v>133</v>
      </c>
    </row>
    <row r="4" spans="1:9" ht="38" customHeight="1" thickTop="1" thickBot="1" x14ac:dyDescent="0.25">
      <c r="A4" t="s">
        <v>21</v>
      </c>
      <c r="B4" s="23" t="s">
        <v>3</v>
      </c>
      <c r="C4" s="6" t="s">
        <v>5</v>
      </c>
      <c r="D4" s="17">
        <v>31.1</v>
      </c>
      <c r="E4" s="18">
        <v>9.9</v>
      </c>
      <c r="F4" s="18">
        <v>9.5</v>
      </c>
      <c r="G4" s="19">
        <v>50.6</v>
      </c>
      <c r="H4" s="32">
        <v>35.6</v>
      </c>
      <c r="I4" s="20">
        <v>16.7</v>
      </c>
    </row>
    <row r="5" spans="1:9" ht="38" customHeight="1" thickTop="1" thickBot="1" x14ac:dyDescent="0.25">
      <c r="A5" t="s">
        <v>21</v>
      </c>
      <c r="B5" s="23" t="s">
        <v>3</v>
      </c>
      <c r="C5" s="6" t="s">
        <v>26</v>
      </c>
      <c r="D5" s="17">
        <f>D3+D4</f>
        <v>334.20000000000005</v>
      </c>
      <c r="E5" s="18">
        <f>E3+E4</f>
        <v>66</v>
      </c>
      <c r="F5" s="18">
        <f>F3+F4</f>
        <v>45.9</v>
      </c>
      <c r="G5" s="19">
        <v>1780.7</v>
      </c>
      <c r="H5" s="19">
        <v>1171.2</v>
      </c>
      <c r="I5" s="20">
        <v>149.6</v>
      </c>
    </row>
    <row r="6" spans="1:9" ht="38" customHeight="1" thickTop="1" thickBot="1" x14ac:dyDescent="0.25">
      <c r="A6" t="s">
        <v>21</v>
      </c>
      <c r="B6" s="22" t="s">
        <v>14</v>
      </c>
      <c r="C6" s="6" t="s">
        <v>27</v>
      </c>
      <c r="D6" s="33">
        <v>291</v>
      </c>
      <c r="E6" s="34">
        <v>44</v>
      </c>
      <c r="F6" s="34">
        <v>54</v>
      </c>
      <c r="G6" s="30">
        <v>1612</v>
      </c>
      <c r="H6" s="35">
        <v>967</v>
      </c>
      <c r="I6" s="36">
        <v>134</v>
      </c>
    </row>
    <row r="7" spans="1:9" ht="38" customHeight="1" thickTop="1" thickBot="1" x14ac:dyDescent="0.25">
      <c r="A7" t="s">
        <v>21</v>
      </c>
      <c r="B7" s="22" t="s">
        <v>14</v>
      </c>
      <c r="C7" s="6" t="s">
        <v>9</v>
      </c>
      <c r="D7" s="33">
        <v>87</v>
      </c>
      <c r="E7" s="34">
        <v>67</v>
      </c>
      <c r="F7" s="34">
        <v>118</v>
      </c>
      <c r="G7" s="30">
        <v>91</v>
      </c>
      <c r="H7" s="30">
        <v>83</v>
      </c>
      <c r="I7" s="36">
        <v>90</v>
      </c>
    </row>
    <row r="8" spans="1:9" ht="38" customHeight="1" thickTop="1" thickBot="1" x14ac:dyDescent="0.25">
      <c r="A8" t="s">
        <v>21</v>
      </c>
      <c r="B8" s="26" t="s">
        <v>10</v>
      </c>
      <c r="C8" s="6" t="s">
        <v>28</v>
      </c>
      <c r="D8" s="33">
        <v>55</v>
      </c>
      <c r="E8" s="34">
        <v>8</v>
      </c>
      <c r="F8" s="34">
        <v>6</v>
      </c>
      <c r="G8" s="30">
        <v>417</v>
      </c>
      <c r="H8" s="35">
        <v>86</v>
      </c>
      <c r="I8" s="36">
        <v>15</v>
      </c>
    </row>
    <row r="9" spans="1:9" ht="38" customHeight="1" thickTop="1" thickBot="1" x14ac:dyDescent="0.25">
      <c r="A9" t="s">
        <v>21</v>
      </c>
      <c r="B9" s="26" t="s">
        <v>10</v>
      </c>
      <c r="C9" s="6" t="s">
        <v>8</v>
      </c>
      <c r="D9" s="28">
        <v>19</v>
      </c>
      <c r="E9" s="29">
        <v>17</v>
      </c>
      <c r="F9" s="29">
        <v>10</v>
      </c>
      <c r="G9" s="30">
        <v>26</v>
      </c>
      <c r="H9" s="31">
        <v>9</v>
      </c>
      <c r="I9" s="28">
        <v>11</v>
      </c>
    </row>
    <row r="10" spans="1:9" ht="38" customHeight="1" thickTop="1" thickBot="1" x14ac:dyDescent="0.25">
      <c r="A10" t="s">
        <v>21</v>
      </c>
      <c r="B10" s="26" t="s">
        <v>10</v>
      </c>
      <c r="C10" s="6" t="s">
        <v>9</v>
      </c>
      <c r="D10" s="28">
        <v>16</v>
      </c>
      <c r="E10" s="29">
        <v>12</v>
      </c>
      <c r="F10" s="29">
        <v>13</v>
      </c>
      <c r="G10" s="30">
        <v>23</v>
      </c>
      <c r="H10" s="31">
        <v>7</v>
      </c>
      <c r="I10" s="28">
        <v>10</v>
      </c>
    </row>
    <row r="11" spans="1:9" ht="38" customHeight="1" thickTop="1" thickBot="1" x14ac:dyDescent="0.25">
      <c r="A11" t="s">
        <v>21</v>
      </c>
      <c r="B11" s="21" t="s">
        <v>15</v>
      </c>
      <c r="C11" s="21" t="s">
        <v>16</v>
      </c>
      <c r="D11" s="8" t="s">
        <v>11</v>
      </c>
      <c r="E11" s="10" t="s">
        <v>23</v>
      </c>
      <c r="F11" s="10" t="s">
        <v>23</v>
      </c>
      <c r="G11" s="12" t="s">
        <v>24</v>
      </c>
      <c r="H11" s="14" t="s">
        <v>25</v>
      </c>
      <c r="I11" s="16" t="s">
        <v>11</v>
      </c>
    </row>
    <row r="12" spans="1:9" ht="38" customHeight="1" thickTop="1" thickBot="1" x14ac:dyDescent="0.25">
      <c r="A12" t="s">
        <v>21</v>
      </c>
      <c r="B12" s="21" t="s">
        <v>15</v>
      </c>
      <c r="C12" s="21" t="s">
        <v>17</v>
      </c>
      <c r="D12" s="8" t="s">
        <v>11</v>
      </c>
      <c r="E12" s="10" t="s">
        <v>23</v>
      </c>
      <c r="F12" s="10" t="s">
        <v>23</v>
      </c>
      <c r="G12" s="12" t="s">
        <v>32</v>
      </c>
      <c r="H12" s="14" t="s">
        <v>25</v>
      </c>
      <c r="I12" s="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Hipsey</dc:creator>
  <cp:lastModifiedBy>Matt Hipsey</cp:lastModifiedBy>
  <dcterms:created xsi:type="dcterms:W3CDTF">2026-02-09T09:42:13Z</dcterms:created>
  <dcterms:modified xsi:type="dcterms:W3CDTF">2026-02-09T15:03:52Z</dcterms:modified>
</cp:coreProperties>
</file>